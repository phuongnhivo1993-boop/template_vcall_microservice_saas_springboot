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ixynh/Google Drive/HD-SALESSG/Sales_Bảo Hân/THÁNG 07/MEDIHUB/"/>
    </mc:Choice>
  </mc:AlternateContent>
  <xr:revisionPtr revIDLastSave="0" documentId="13_ncr:1_{CC329731-FE2C-0A44-A3B4-35B1E9E1B910}" xr6:coauthVersionLast="45" xr6:coauthVersionMax="45" xr10:uidLastSave="{00000000-0000-0000-0000-000000000000}"/>
  <bookViews>
    <workbookView xWindow="1800" yWindow="460" windowWidth="26180" windowHeight="16240" tabRatio="500" xr2:uid="{00000000-000D-0000-FFFF-FFFF00000000}"/>
  </bookViews>
  <sheets>
    <sheet name="Chi phí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0" i="1" l="1"/>
  <c r="G19" i="1"/>
  <c r="G16" i="1" l="1"/>
  <c r="D14" i="1" l="1"/>
  <c r="D15" i="1"/>
  <c r="G14" i="1"/>
  <c r="G15" i="1"/>
  <c r="G13" i="1"/>
  <c r="G23" i="1" s="1"/>
</calcChain>
</file>

<file path=xl/sharedStrings.xml><?xml version="1.0" encoding="utf-8"?>
<sst xmlns="http://schemas.openxmlformats.org/spreadsheetml/2006/main" count="70" uniqueCount="59">
  <si>
    <t>www.vht.com.vn</t>
  </si>
  <si>
    <t>BẢNG BÁO GIÁ DỊCH VỤ</t>
  </si>
  <si>
    <t>Thông tin khách hàng</t>
  </si>
  <si>
    <t>Ngày :</t>
  </si>
  <si>
    <t>Khách Hàng :</t>
  </si>
  <si>
    <t>Gửi từ :</t>
  </si>
  <si>
    <t>VHT TELECOM JSC,.</t>
  </si>
  <si>
    <t xml:space="preserve">Liên Hệ : </t>
  </si>
  <si>
    <t>Liên Hệ :</t>
  </si>
  <si>
    <t>Mobile :</t>
  </si>
  <si>
    <t>Email :</t>
  </si>
  <si>
    <r>
      <t xml:space="preserve">Trước tiên, xin chân thành cảm ơn Quý công ty đã tín nhiệm và lựa chọn VHT tham gia thực hiện công việc triển khai </t>
    </r>
    <r>
      <rPr>
        <b/>
        <i/>
        <sz val="11"/>
        <color theme="1"/>
        <rFont val="UTM Neo Sans Intel"/>
        <family val="1"/>
      </rPr>
      <t>Giải pháp Chăm sóc khách hàng đa kênh</t>
    </r>
    <r>
      <rPr>
        <sz val="11"/>
        <color theme="1"/>
        <rFont val="UTM Neo Sans Intel"/>
        <family val="1"/>
      </rPr>
      <t xml:space="preserve">. Sau đây chúng tôi xin trân trọng gởi đến Quý công ty bảng báo giá &amp; các đề xuất chi tiết thực hiện: </t>
    </r>
  </si>
  <si>
    <t>Tên dịch vụ</t>
  </si>
  <si>
    <t>Mục</t>
  </si>
  <si>
    <t>Diễn giải</t>
  </si>
  <si>
    <t>Đơn giá (VND)</t>
  </si>
  <si>
    <t>Số lượng</t>
  </si>
  <si>
    <t>Đơn vị tính</t>
  </si>
  <si>
    <t>Thành tiền (VND)</t>
  </si>
  <si>
    <t>Ghi chú</t>
  </si>
  <si>
    <t>Triển khai hệ thống và đào tạo</t>
  </si>
  <si>
    <t>Lần</t>
  </si>
  <si>
    <t>Thu 1 lần</t>
  </si>
  <si>
    <t>Tháng</t>
  </si>
  <si>
    <t>Thiết bị nghe gọi</t>
  </si>
  <si>
    <t>Điện thoại bàn IP Phone</t>
  </si>
  <si>
    <t>Cái</t>
  </si>
  <si>
    <t>Mua thiết bị theo nhu cầu</t>
  </si>
  <si>
    <t>Phát sinh hàng tháng, thu 1 tháng/ lần</t>
  </si>
  <si>
    <t>Cước gọi nội mạng</t>
  </si>
  <si>
    <t>Phút</t>
  </si>
  <si>
    <t>Sản lượng phát sinh</t>
  </si>
  <si>
    <t>Cước gọi ngoại mạng</t>
  </si>
  <si>
    <t>** Tổng tiền được tính dựa trên các mục in đậm tại cột thành tiền.</t>
  </si>
  <si>
    <t>MEDIHUB</t>
  </si>
  <si>
    <t>Mr Phước</t>
  </si>
  <si>
    <t>0903 876 959</t>
  </si>
  <si>
    <t>phuoc.huynh@medihub.com.vn</t>
  </si>
  <si>
    <t xml:space="preserve">Tai nghe </t>
  </si>
  <si>
    <t>* Chi phí phần mềm không chịu thuế 10% VAT.</t>
  </si>
  <si>
    <t>Omni Channel</t>
  </si>
  <si>
    <t>Hệ thống chăm sóc khách hàng đa kênh Omni Channel</t>
  </si>
  <si>
    <t>Vân Anh</t>
  </si>
  <si>
    <t>0942 555 515</t>
  </si>
  <si>
    <t>vananh@vht.com.vn</t>
  </si>
  <si>
    <t>Duy trì hệ thống 6 user đa kênh</t>
  </si>
  <si>
    <t>Duy trì hệ thống 30 user call only</t>
  </si>
  <si>
    <t>660k/user. Ví dụ: 6 users - Phát sinh hàng tháng, thu 6 tháng/ lần</t>
  </si>
  <si>
    <t>50k/user. Ví dụ: 30 users - Phát sinh hàng tháng, thu 6 tháng/ lần</t>
  </si>
  <si>
    <t>Số SIP gọi vào/ra</t>
  </si>
  <si>
    <t>Số Viettel (Gọi vào/Gọi ra)</t>
  </si>
  <si>
    <t>Khai báo Viettel</t>
  </si>
  <si>
    <t>Thuê bao Viettel</t>
  </si>
  <si>
    <t>Tổng tiền hệ thống trong 06 tháng (VND)</t>
  </si>
  <si>
    <t>Mua thiết bị theo nhu cầu, Sennheiser bảo hành 2 năm</t>
  </si>
  <si>
    <t>Chi phí tích hợp Haravan vào MediHub</t>
  </si>
  <si>
    <t>23.09.2020</t>
  </si>
  <si>
    <t>Tích hợp API Haravan vào</t>
  </si>
  <si>
    <t>Ba mưoi lăm triệu, bảy trăm sau mươi nghìn đồng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</si>
</sst>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UTM Neo Sans Intel"/>
      <family val="1"/>
    </font>
    <font>
      <u/>
      <sz val="12"/>
      <color theme="10"/>
      <name val="Calibri"/>
      <family val="2"/>
      <scheme val="minor"/>
    </font>
    <font>
      <u/>
      <sz val="12"/>
      <name val="UTM Neo Sans Intel"/>
      <family val="1"/>
    </font>
    <font>
      <sz val="20"/>
      <color theme="1"/>
      <name val="UTM Neo Sans Intel"/>
      <family val="1"/>
    </font>
    <font>
      <b/>
      <sz val="11"/>
      <color theme="1"/>
      <name val="UTM Neo Sans Intel"/>
      <family val="1"/>
    </font>
    <font>
      <u/>
      <sz val="12"/>
      <color theme="10"/>
      <name val="UTM Neo Sans Intel"/>
      <family val="1"/>
    </font>
    <font>
      <b/>
      <i/>
      <sz val="11"/>
      <color theme="1"/>
      <name val="UTM Neo Sans Intel"/>
      <family val="1"/>
    </font>
    <font>
      <b/>
      <i/>
      <sz val="10"/>
      <color theme="1"/>
      <name val="UTM Neo Sans Intel"/>
      <family val="1"/>
    </font>
    <font>
      <b/>
      <sz val="11"/>
      <color rgb="FFFF0000"/>
      <name val="UTM Neo Sans Intel"/>
      <family val="1"/>
    </font>
    <font>
      <sz val="11"/>
      <color rgb="FFFF0000"/>
      <name val="UTM Neo Sans Intel"/>
      <family val="1"/>
    </font>
    <font>
      <b/>
      <i/>
      <sz val="10"/>
      <color rgb="FFFF0000"/>
      <name val="UTM Neo Sans Intel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8">
    <xf numFmtId="0" fontId="0" fillId="0" borderId="0" xfId="0"/>
    <xf numFmtId="0" fontId="2" fillId="2" borderId="0" xfId="0" applyFont="1" applyFill="1" applyAlignment="1"/>
    <xf numFmtId="0" fontId="4" fillId="2" borderId="0" xfId="2" applyFont="1" applyFill="1" applyAlignment="1">
      <alignment horizontal="right"/>
    </xf>
    <xf numFmtId="0" fontId="2" fillId="0" borderId="0" xfId="0" applyFont="1" applyFill="1"/>
    <xf numFmtId="0" fontId="6" fillId="2" borderId="1" xfId="0" applyFont="1" applyFill="1" applyBorder="1" applyAlignment="1"/>
    <xf numFmtId="0" fontId="6" fillId="2" borderId="3" xfId="0" applyFont="1" applyFill="1" applyBorder="1" applyAlignment="1"/>
    <xf numFmtId="165" fontId="6" fillId="2" borderId="4" xfId="1" applyNumberFormat="1" applyFont="1" applyFill="1" applyBorder="1" applyAlignment="1">
      <alignment horizontal="right"/>
    </xf>
    <xf numFmtId="0" fontId="2" fillId="0" borderId="4" xfId="0" applyFont="1" applyFill="1" applyBorder="1"/>
    <xf numFmtId="0" fontId="6" fillId="2" borderId="4" xfId="0" applyFont="1" applyFill="1" applyBorder="1" applyAlignment="1">
      <alignment horizontal="right" vertical="center"/>
    </xf>
    <xf numFmtId="0" fontId="2" fillId="0" borderId="0" xfId="0" applyFont="1" applyFill="1" applyAlignment="1"/>
    <xf numFmtId="165" fontId="2" fillId="0" borderId="0" xfId="1" applyNumberFormat="1" applyFont="1" applyFill="1"/>
    <xf numFmtId="0" fontId="7" fillId="0" borderId="0" xfId="2" applyFont="1" applyFill="1"/>
    <xf numFmtId="0" fontId="2" fillId="0" borderId="0" xfId="0" applyFont="1" applyFill="1" applyAlignment="1">
      <alignment horizontal="left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165" fontId="6" fillId="2" borderId="6" xfId="1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wrapText="1"/>
    </xf>
    <xf numFmtId="165" fontId="8" fillId="2" borderId="12" xfId="1" applyNumberFormat="1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/>
    <xf numFmtId="0" fontId="2" fillId="0" borderId="14" xfId="0" applyFont="1" applyFill="1" applyBorder="1" applyAlignment="1">
      <alignment horizontal="left" vertical="center"/>
    </xf>
    <xf numFmtId="3" fontId="11" fillId="0" borderId="9" xfId="0" applyNumberFormat="1" applyFont="1" applyFill="1" applyBorder="1" applyAlignment="1">
      <alignment vertical="center"/>
    </xf>
    <xf numFmtId="0" fontId="11" fillId="0" borderId="9" xfId="0" applyFont="1" applyFill="1" applyBorder="1" applyAlignment="1">
      <alignment horizontal="right" vertical="center"/>
    </xf>
    <xf numFmtId="0" fontId="11" fillId="0" borderId="9" xfId="0" applyFont="1" applyFill="1" applyBorder="1" applyAlignment="1">
      <alignment horizontal="center" vertical="center"/>
    </xf>
    <xf numFmtId="165" fontId="10" fillId="0" borderId="9" xfId="1" applyNumberFormat="1" applyFont="1" applyFill="1" applyBorder="1" applyAlignment="1">
      <alignment vertical="center"/>
    </xf>
    <xf numFmtId="0" fontId="11" fillId="0" borderId="0" xfId="0" applyFont="1" applyFill="1"/>
    <xf numFmtId="0" fontId="3" fillId="0" borderId="4" xfId="2" applyFill="1" applyBorder="1"/>
    <xf numFmtId="3" fontId="2" fillId="0" borderId="4" xfId="0" applyNumberFormat="1" applyFont="1" applyFill="1" applyBorder="1" applyAlignment="1">
      <alignment vertical="center"/>
    </xf>
    <xf numFmtId="0" fontId="2" fillId="0" borderId="4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center" vertical="center"/>
    </xf>
    <xf numFmtId="165" fontId="6" fillId="0" borderId="4" xfId="1" applyNumberFormat="1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/>
    </xf>
    <xf numFmtId="0" fontId="11" fillId="0" borderId="20" xfId="0" applyFont="1" applyFill="1" applyBorder="1" applyAlignment="1">
      <alignment vertical="center"/>
    </xf>
    <xf numFmtId="0" fontId="2" fillId="0" borderId="21" xfId="0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3" fontId="2" fillId="0" borderId="4" xfId="0" applyNumberFormat="1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165" fontId="2" fillId="0" borderId="4" xfId="1" applyNumberFormat="1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0" xfId="0" applyFont="1"/>
    <xf numFmtId="0" fontId="11" fillId="3" borderId="20" xfId="0" applyFont="1" applyFill="1" applyBorder="1" applyAlignment="1">
      <alignment vertical="center"/>
    </xf>
    <xf numFmtId="3" fontId="11" fillId="3" borderId="9" xfId="0" applyNumberFormat="1" applyFont="1" applyFill="1" applyBorder="1" applyAlignment="1">
      <alignment vertical="center"/>
    </xf>
    <xf numFmtId="0" fontId="11" fillId="3" borderId="9" xfId="0" applyFont="1" applyFill="1" applyBorder="1" applyAlignment="1">
      <alignment horizontal="right" vertical="center"/>
    </xf>
    <xf numFmtId="0" fontId="11" fillId="3" borderId="9" xfId="0" applyFont="1" applyFill="1" applyBorder="1" applyAlignment="1">
      <alignment horizontal="center" vertical="center"/>
    </xf>
    <xf numFmtId="165" fontId="10" fillId="3" borderId="9" xfId="1" applyNumberFormat="1" applyFont="1" applyFill="1" applyBorder="1" applyAlignment="1">
      <alignment vertical="center"/>
    </xf>
    <xf numFmtId="0" fontId="11" fillId="3" borderId="15" xfId="0" applyFont="1" applyFill="1" applyBorder="1" applyAlignment="1">
      <alignment vertical="center"/>
    </xf>
    <xf numFmtId="3" fontId="11" fillId="3" borderId="13" xfId="0" applyNumberFormat="1" applyFont="1" applyFill="1" applyBorder="1" applyAlignment="1">
      <alignment vertical="center"/>
    </xf>
    <xf numFmtId="0" fontId="11" fillId="3" borderId="13" xfId="0" applyFont="1" applyFill="1" applyBorder="1" applyAlignment="1">
      <alignment horizontal="right" vertical="center"/>
    </xf>
    <xf numFmtId="0" fontId="11" fillId="3" borderId="13" xfId="0" applyFont="1" applyFill="1" applyBorder="1" applyAlignment="1">
      <alignment horizontal="center" vertical="center"/>
    </xf>
    <xf numFmtId="165" fontId="10" fillId="3" borderId="13" xfId="1" applyNumberFormat="1" applyFont="1" applyFill="1" applyBorder="1" applyAlignment="1">
      <alignment vertical="center"/>
    </xf>
    <xf numFmtId="0" fontId="2" fillId="3" borderId="21" xfId="0" applyFont="1" applyFill="1" applyBorder="1" applyAlignment="1">
      <alignment horizontal="left" vertical="center" wrapText="1"/>
    </xf>
    <xf numFmtId="0" fontId="12" fillId="0" borderId="0" xfId="0" applyFont="1" applyFill="1"/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11" fillId="0" borderId="24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1" fillId="0" borderId="17" xfId="0" applyFont="1" applyFill="1" applyBorder="1" applyAlignment="1">
      <alignment horizontal="center" vertical="center" wrapText="1"/>
    </xf>
    <xf numFmtId="0" fontId="3" fillId="0" borderId="1" xfId="2" quotePrefix="1" applyFill="1" applyBorder="1" applyAlignment="1">
      <alignment horizontal="center"/>
    </xf>
    <xf numFmtId="0" fontId="3" fillId="0" borderId="2" xfId="2" quotePrefix="1" applyFill="1" applyBorder="1" applyAlignment="1">
      <alignment horizontal="center"/>
    </xf>
    <xf numFmtId="0" fontId="3" fillId="0" borderId="3" xfId="2" quotePrefix="1" applyFill="1" applyBorder="1" applyAlignment="1">
      <alignment horizont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1" xfId="0" quotePrefix="1" applyFont="1" applyFill="1" applyBorder="1" applyAlignment="1">
      <alignment horizontal="center"/>
    </xf>
    <xf numFmtId="0" fontId="2" fillId="0" borderId="2" xfId="0" quotePrefix="1" applyFont="1" applyFill="1" applyBorder="1" applyAlignment="1">
      <alignment horizontal="center"/>
    </xf>
    <xf numFmtId="0" fontId="2" fillId="0" borderId="3" xfId="0" quotePrefix="1" applyFont="1" applyFill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ananh@vht.com.vn" TargetMode="External"/><Relationship Id="rId1" Type="http://schemas.openxmlformats.org/officeDocument/2006/relationships/hyperlink" Target="http://www.vht.com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A7" zoomScale="113" zoomScaleNormal="125" zoomScalePageLayoutView="130" workbookViewId="0">
      <selection activeCell="G25" sqref="G25"/>
    </sheetView>
  </sheetViews>
  <sheetFormatPr baseColWidth="10" defaultColWidth="11" defaultRowHeight="18" x14ac:dyDescent="0.25"/>
  <cols>
    <col min="1" max="1" width="14.33203125" style="3" customWidth="1"/>
    <col min="2" max="2" width="26.1640625" style="3" customWidth="1"/>
    <col min="3" max="3" width="27.83203125" style="3" customWidth="1"/>
    <col min="4" max="4" width="13" style="3" bestFit="1" customWidth="1"/>
    <col min="5" max="5" width="9.6640625" style="3" customWidth="1"/>
    <col min="6" max="6" width="9" style="9" customWidth="1"/>
    <col min="7" max="7" width="14.5" style="10" customWidth="1"/>
    <col min="8" max="8" width="43.83203125" style="3" bestFit="1" customWidth="1"/>
    <col min="9" max="16384" width="11" style="3"/>
  </cols>
  <sheetData>
    <row r="1" spans="1:8" ht="20" x14ac:dyDescent="0.3">
      <c r="A1" s="1"/>
      <c r="B1" s="1"/>
      <c r="C1" s="1"/>
      <c r="D1" s="1"/>
      <c r="E1" s="1"/>
      <c r="F1" s="1"/>
      <c r="G1" s="1"/>
      <c r="H1" s="2" t="s">
        <v>0</v>
      </c>
    </row>
    <row r="2" spans="1:8" x14ac:dyDescent="0.25">
      <c r="A2" s="77" t="s">
        <v>1</v>
      </c>
      <c r="B2" s="77"/>
      <c r="C2" s="77"/>
      <c r="D2" s="77"/>
      <c r="E2" s="77"/>
      <c r="F2" s="77"/>
      <c r="G2" s="77"/>
      <c r="H2" s="77"/>
    </row>
    <row r="3" spans="1:8" ht="18" customHeight="1" x14ac:dyDescent="0.25">
      <c r="A3" s="77"/>
      <c r="B3" s="77"/>
      <c r="C3" s="77"/>
      <c r="D3" s="77"/>
      <c r="E3" s="77"/>
      <c r="F3" s="77"/>
      <c r="G3" s="77"/>
      <c r="H3" s="77"/>
    </row>
    <row r="4" spans="1:8" ht="18.75" customHeight="1" x14ac:dyDescent="0.25">
      <c r="A4" s="4"/>
      <c r="B4" s="78" t="s">
        <v>2</v>
      </c>
      <c r="C4" s="78"/>
      <c r="D4" s="78"/>
      <c r="E4" s="78"/>
      <c r="F4" s="5"/>
      <c r="G4" s="6" t="s">
        <v>3</v>
      </c>
      <c r="H4" s="7" t="s">
        <v>56</v>
      </c>
    </row>
    <row r="5" spans="1:8" ht="19.5" customHeight="1" x14ac:dyDescent="0.25">
      <c r="A5" s="8" t="s">
        <v>4</v>
      </c>
      <c r="B5" s="79" t="s">
        <v>34</v>
      </c>
      <c r="C5" s="80"/>
      <c r="D5" s="80"/>
      <c r="E5" s="80"/>
      <c r="F5" s="81"/>
      <c r="G5" s="6" t="s">
        <v>5</v>
      </c>
      <c r="H5" s="7" t="s">
        <v>6</v>
      </c>
    </row>
    <row r="6" spans="1:8" x14ac:dyDescent="0.25">
      <c r="A6" s="8" t="s">
        <v>7</v>
      </c>
      <c r="B6" s="82" t="s">
        <v>35</v>
      </c>
      <c r="C6" s="83"/>
      <c r="D6" s="83"/>
      <c r="E6" s="83"/>
      <c r="F6" s="84"/>
      <c r="G6" s="6" t="s">
        <v>8</v>
      </c>
      <c r="H6" s="7" t="s">
        <v>42</v>
      </c>
    </row>
    <row r="7" spans="1:8" x14ac:dyDescent="0.25">
      <c r="A7" s="8" t="s">
        <v>9</v>
      </c>
      <c r="B7" s="85" t="s">
        <v>36</v>
      </c>
      <c r="C7" s="86"/>
      <c r="D7" s="86"/>
      <c r="E7" s="86"/>
      <c r="F7" s="87"/>
      <c r="G7" s="6" t="s">
        <v>9</v>
      </c>
      <c r="H7" s="7" t="s">
        <v>43</v>
      </c>
    </row>
    <row r="8" spans="1:8" x14ac:dyDescent="0.25">
      <c r="A8" s="8" t="s">
        <v>10</v>
      </c>
      <c r="B8" s="72" t="s">
        <v>37</v>
      </c>
      <c r="C8" s="73"/>
      <c r="D8" s="73"/>
      <c r="E8" s="73"/>
      <c r="F8" s="74"/>
      <c r="G8" s="6" t="s">
        <v>10</v>
      </c>
      <c r="H8" s="27" t="s">
        <v>44</v>
      </c>
    </row>
    <row r="9" spans="1:8" ht="15.75" customHeight="1" x14ac:dyDescent="0.3">
      <c r="H9" s="11"/>
    </row>
    <row r="10" spans="1:8" s="12" customFormat="1" ht="34.5" customHeight="1" x14ac:dyDescent="0.25">
      <c r="A10" s="59" t="s">
        <v>11</v>
      </c>
      <c r="B10" s="59"/>
      <c r="C10" s="59"/>
      <c r="D10" s="59"/>
      <c r="E10" s="59"/>
      <c r="F10" s="59"/>
      <c r="G10" s="59"/>
      <c r="H10" s="59"/>
    </row>
    <row r="11" spans="1:8" ht="19" thickBot="1" x14ac:dyDescent="0.3"/>
    <row r="12" spans="1:8" s="17" customFormat="1" ht="31.5" customHeight="1" thickBot="1" x14ac:dyDescent="0.3">
      <c r="A12" s="13" t="s">
        <v>12</v>
      </c>
      <c r="B12" s="14" t="s">
        <v>13</v>
      </c>
      <c r="C12" s="14" t="s">
        <v>14</v>
      </c>
      <c r="D12" s="14" t="s">
        <v>15</v>
      </c>
      <c r="E12" s="14" t="s">
        <v>16</v>
      </c>
      <c r="F12" s="14" t="s">
        <v>17</v>
      </c>
      <c r="G12" s="15" t="s">
        <v>18</v>
      </c>
      <c r="H12" s="16" t="s">
        <v>19</v>
      </c>
    </row>
    <row r="13" spans="1:8" ht="18" customHeight="1" x14ac:dyDescent="0.25">
      <c r="A13" s="66" t="s">
        <v>40</v>
      </c>
      <c r="B13" s="69" t="s">
        <v>41</v>
      </c>
      <c r="C13" s="50" t="s">
        <v>20</v>
      </c>
      <c r="D13" s="51">
        <v>2000000</v>
      </c>
      <c r="E13" s="52">
        <v>1</v>
      </c>
      <c r="F13" s="53" t="s">
        <v>21</v>
      </c>
      <c r="G13" s="54">
        <f>D13*E13</f>
        <v>2000000</v>
      </c>
      <c r="H13" s="21" t="s">
        <v>22</v>
      </c>
    </row>
    <row r="14" spans="1:8" ht="38" x14ac:dyDescent="0.25">
      <c r="A14" s="67"/>
      <c r="B14" s="70"/>
      <c r="C14" s="35" t="s">
        <v>45</v>
      </c>
      <c r="D14" s="22">
        <f>660000*6</f>
        <v>3960000</v>
      </c>
      <c r="E14" s="23">
        <v>6</v>
      </c>
      <c r="F14" s="24" t="s">
        <v>23</v>
      </c>
      <c r="G14" s="25">
        <f t="shared" ref="G14" si="0">D14*E14</f>
        <v>23760000</v>
      </c>
      <c r="H14" s="36" t="s">
        <v>47</v>
      </c>
    </row>
    <row r="15" spans="1:8" ht="38" x14ac:dyDescent="0.25">
      <c r="A15" s="67"/>
      <c r="B15" s="70"/>
      <c r="C15" s="35" t="s">
        <v>46</v>
      </c>
      <c r="D15" s="22">
        <f>50000*30</f>
        <v>1500000</v>
      </c>
      <c r="E15" s="23">
        <v>6</v>
      </c>
      <c r="F15" s="24" t="s">
        <v>23</v>
      </c>
      <c r="G15" s="25">
        <f t="shared" ref="G15" si="1">D15*E15</f>
        <v>9000000</v>
      </c>
      <c r="H15" s="36" t="s">
        <v>48</v>
      </c>
    </row>
    <row r="16" spans="1:8" ht="19" x14ac:dyDescent="0.25">
      <c r="A16" s="68"/>
      <c r="B16" s="71"/>
      <c r="C16" s="45" t="s">
        <v>57</v>
      </c>
      <c r="D16" s="46">
        <v>1000000</v>
      </c>
      <c r="E16" s="47">
        <v>1</v>
      </c>
      <c r="F16" s="48" t="s">
        <v>21</v>
      </c>
      <c r="G16" s="49">
        <f>D16*E16</f>
        <v>1000000</v>
      </c>
      <c r="H16" s="55" t="s">
        <v>55</v>
      </c>
    </row>
    <row r="17" spans="1:8" ht="19" x14ac:dyDescent="0.25">
      <c r="A17" s="60" t="s">
        <v>24</v>
      </c>
      <c r="B17" s="75" t="s">
        <v>24</v>
      </c>
      <c r="C17" s="33" t="s">
        <v>25</v>
      </c>
      <c r="D17" s="28">
        <v>900000</v>
      </c>
      <c r="E17" s="29">
        <v>1</v>
      </c>
      <c r="F17" s="30" t="s">
        <v>26</v>
      </c>
      <c r="G17" s="31"/>
      <c r="H17" s="34" t="s">
        <v>27</v>
      </c>
    </row>
    <row r="18" spans="1:8" ht="16" customHeight="1" x14ac:dyDescent="0.25">
      <c r="A18" s="61"/>
      <c r="B18" s="76"/>
      <c r="C18" s="33" t="s">
        <v>38</v>
      </c>
      <c r="D18" s="28">
        <v>1400000</v>
      </c>
      <c r="E18" s="32">
        <v>1</v>
      </c>
      <c r="F18" s="30" t="s">
        <v>26</v>
      </c>
      <c r="G18" s="31"/>
      <c r="H18" s="34" t="s">
        <v>54</v>
      </c>
    </row>
    <row r="19" spans="1:8" s="44" customFormat="1" x14ac:dyDescent="0.25">
      <c r="A19" s="65" t="s">
        <v>49</v>
      </c>
      <c r="B19" s="62" t="s">
        <v>50</v>
      </c>
      <c r="C19" s="38" t="s">
        <v>51</v>
      </c>
      <c r="D19" s="39">
        <v>60000</v>
      </c>
      <c r="E19" s="40">
        <v>1</v>
      </c>
      <c r="F19" s="41" t="s">
        <v>21</v>
      </c>
      <c r="G19" s="42">
        <f>D19*E19</f>
        <v>60000</v>
      </c>
      <c r="H19" s="43" t="s">
        <v>22</v>
      </c>
    </row>
    <row r="20" spans="1:8" s="44" customFormat="1" x14ac:dyDescent="0.25">
      <c r="A20" s="65"/>
      <c r="B20" s="63"/>
      <c r="C20" s="38" t="s">
        <v>52</v>
      </c>
      <c r="D20" s="39">
        <v>50000</v>
      </c>
      <c r="E20" s="40">
        <v>1</v>
      </c>
      <c r="F20" s="41" t="s">
        <v>23</v>
      </c>
      <c r="G20" s="42">
        <f>D20*E20</f>
        <v>50000</v>
      </c>
      <c r="H20" s="43" t="s">
        <v>28</v>
      </c>
    </row>
    <row r="21" spans="1:8" s="44" customFormat="1" x14ac:dyDescent="0.25">
      <c r="A21" s="65"/>
      <c r="B21" s="63"/>
      <c r="C21" s="38" t="s">
        <v>29</v>
      </c>
      <c r="D21" s="39">
        <v>550</v>
      </c>
      <c r="E21" s="40">
        <v>1</v>
      </c>
      <c r="F21" s="41" t="s">
        <v>30</v>
      </c>
      <c r="G21" s="42"/>
      <c r="H21" s="43" t="s">
        <v>31</v>
      </c>
    </row>
    <row r="22" spans="1:8" s="44" customFormat="1" ht="19" thickBot="1" x14ac:dyDescent="0.3">
      <c r="A22" s="65"/>
      <c r="B22" s="64"/>
      <c r="C22" s="38" t="s">
        <v>32</v>
      </c>
      <c r="D22" s="39">
        <v>780</v>
      </c>
      <c r="E22" s="40">
        <v>1</v>
      </c>
      <c r="F22" s="41" t="s">
        <v>30</v>
      </c>
      <c r="G22" s="42"/>
      <c r="H22" s="43" t="s">
        <v>31</v>
      </c>
    </row>
    <row r="23" spans="1:8" s="19" customFormat="1" ht="32" customHeight="1" thickBot="1" x14ac:dyDescent="0.25">
      <c r="A23" s="57" t="s">
        <v>53</v>
      </c>
      <c r="B23" s="58"/>
      <c r="C23" s="58"/>
      <c r="D23" s="58"/>
      <c r="E23" s="58"/>
      <c r="F23" s="58"/>
      <c r="G23" s="18">
        <f>SUM(G13:G16)</f>
        <v>35760000</v>
      </c>
      <c r="H23" s="37" t="s">
        <v>58</v>
      </c>
    </row>
    <row r="24" spans="1:8" x14ac:dyDescent="0.25">
      <c r="A24" s="56" t="s">
        <v>39</v>
      </c>
    </row>
    <row r="25" spans="1:8" x14ac:dyDescent="0.25">
      <c r="A25" s="20" t="s">
        <v>33</v>
      </c>
    </row>
    <row r="26" spans="1:8" x14ac:dyDescent="0.25">
      <c r="A26" s="26"/>
    </row>
  </sheetData>
  <mergeCells count="14">
    <mergeCell ref="B8:F8"/>
    <mergeCell ref="B17:B18"/>
    <mergeCell ref="A2:H3"/>
    <mergeCell ref="B4:E4"/>
    <mergeCell ref="B5:F5"/>
    <mergeCell ref="B6:F6"/>
    <mergeCell ref="B7:F7"/>
    <mergeCell ref="A23:F23"/>
    <mergeCell ref="A10:H10"/>
    <mergeCell ref="A17:A18"/>
    <mergeCell ref="B19:B22"/>
    <mergeCell ref="A19:A22"/>
    <mergeCell ref="A13:A16"/>
    <mergeCell ref="B13:B16"/>
  </mergeCells>
  <hyperlinks>
    <hyperlink ref="H1" r:id="rId1" xr:uid="{00000000-0004-0000-0000-000000000000}"/>
    <hyperlink ref="H8" r:id="rId2" xr:uid="{00000000-0004-0000-0000-000001000000}"/>
  </hyperlinks>
  <pageMargins left="0.53" right="0.42" top="0.28000000000000003" bottom="0.34" header="0.16" footer="0.22"/>
  <pageSetup paperSize="9" orientation="landscape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phí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2018-06-14T14:42:51Z</dcterms:created>
  <dcterms:modified xsi:type="dcterms:W3CDTF">2020-09-22T17:51:19Z</dcterms:modified>
</cp:coreProperties>
</file>